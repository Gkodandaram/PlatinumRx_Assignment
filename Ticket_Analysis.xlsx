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" sheetId="1" state="visible" r:id="rId3"/>
    <sheet name="feedbacks" sheetId="2" state="visible" r:id="rId4"/>
    <sheet name="Time_Analysi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<sst xmlns="http://schemas.openxmlformats.org/spreadsheetml/2006/main" count="110" uniqueCount="83">
  <si>
    <t xml:space="preserve">Ticket Data</t>
  </si>
  <si>
    <t xml:space="preserve">ticket_id</t>
  </si>
  <si>
    <t xml:space="preserve">created_at</t>
  </si>
  <si>
    <t xml:space="preserve">closed_at</t>
  </si>
  <si>
    <t xml:space="preserve">outlet_id</t>
  </si>
  <si>
    <t xml:space="preserve">cms_id</t>
  </si>
  <si>
    <t xml:space="preserve">isu-sjd-457</t>
  </si>
  <si>
    <t xml:space="preserve">2021-08-19 16:45:43</t>
  </si>
  <si>
    <t xml:space="preserve">2021-08-22 12:33:32</t>
  </si>
  <si>
    <t xml:space="preserve">wrqy-juv-978</t>
  </si>
  <si>
    <t xml:space="preserve">vew-iuvd-12</t>
  </si>
  <si>
    <t xml:space="preserve">qer-fal-092</t>
  </si>
  <si>
    <t xml:space="preserve">2021-08-21 11:09:22</t>
  </si>
  <si>
    <t xml:space="preserve">2021-08-21 17:13:45</t>
  </si>
  <si>
    <t xml:space="preserve">8woh-k3u-23b</t>
  </si>
  <si>
    <t xml:space="preserve">cms-abc-001</t>
  </si>
  <si>
    <t xml:space="preserve">abc-def-111</t>
  </si>
  <si>
    <t xml:space="preserve">2021-08-23 09:00:00</t>
  </si>
  <si>
    <t xml:space="preserve">2021-08-23 09:45:00</t>
  </si>
  <si>
    <t xml:space="preserve">cms-xyz-002</t>
  </si>
  <si>
    <t xml:space="preserve">bcd-efg-222</t>
  </si>
  <si>
    <t xml:space="preserve">2021-08-24 14:00:00</t>
  </si>
  <si>
    <t xml:space="preserve">2021-08-25 10:00:00</t>
  </si>
  <si>
    <t xml:space="preserve">cms-mno-003</t>
  </si>
  <si>
    <t xml:space="preserve">cde-fgh-333</t>
  </si>
  <si>
    <t xml:space="preserve">2021-08-24 08:30:00</t>
  </si>
  <si>
    <t xml:space="preserve">2021-08-24 08:55:00</t>
  </si>
  <si>
    <t xml:space="preserve">cms-pqr-004</t>
  </si>
  <si>
    <t xml:space="preserve">def-ghi-444</t>
  </si>
  <si>
    <t xml:space="preserve">2021-08-25 11:00:00</t>
  </si>
  <si>
    <t xml:space="preserve">2021-08-26 09:00:00</t>
  </si>
  <si>
    <t xml:space="preserve">9xyz-lmn-45c</t>
  </si>
  <si>
    <t xml:space="preserve">cms-stu-005</t>
  </si>
  <si>
    <t xml:space="preserve">efg-hij-555</t>
  </si>
  <si>
    <t xml:space="preserve">2021-08-25 15:00:00</t>
  </si>
  <si>
    <t xml:space="preserve">2021-08-25 15:30:00</t>
  </si>
  <si>
    <t xml:space="preserve">cms-vwx-006</t>
  </si>
  <si>
    <t xml:space="preserve">fgh-ijk-666</t>
  </si>
  <si>
    <t xml:space="preserve">2021-08-26 10:00:00</t>
  </si>
  <si>
    <t xml:space="preserve">2021-08-26 10:45:00</t>
  </si>
  <si>
    <t xml:space="preserve">cms-yza-007</t>
  </si>
  <si>
    <t xml:space="preserve">ghi-jkl-777</t>
  </si>
  <si>
    <t xml:space="preserve">2021-08-27 13:00:00</t>
  </si>
  <si>
    <t xml:space="preserve">2021-08-28 14:00:00</t>
  </si>
  <si>
    <t xml:space="preserve">cms-bcd-008</t>
  </si>
  <si>
    <t xml:space="preserve">hij-klm-888</t>
  </si>
  <si>
    <t xml:space="preserve">2021-08-27 16:00:00</t>
  </si>
  <si>
    <t xml:space="preserve">2021-08-27 16:50:00</t>
  </si>
  <si>
    <t xml:space="preserve">cms-efg-009</t>
  </si>
  <si>
    <t xml:space="preserve">Feedbacks Data</t>
  </si>
  <si>
    <t xml:space="preserve">feedback_at</t>
  </si>
  <si>
    <t xml:space="preserve">feedback_rating</t>
  </si>
  <si>
    <t xml:space="preserve">ticket_created_at</t>
  </si>
  <si>
    <t xml:space="preserve">2021-08-21 13:26:48</t>
  </si>
  <si>
    <t xml:space="preserve">2021-08-22 09:00:00</t>
  </si>
  <si>
    <t xml:space="preserve">2021-08-24 11:00:00</t>
  </si>
  <si>
    <t xml:space="preserve">2021-08-26 08:00:00</t>
  </si>
  <si>
    <t xml:space="preserve">2021-08-27 14:00:00</t>
  </si>
  <si>
    <t xml:space="preserve">2021-08-26 12:00:00</t>
  </si>
  <si>
    <t xml:space="preserve">2021-08-27 11:30:00</t>
  </si>
  <si>
    <t xml:space="preserve">2021-08-29 09:00:00</t>
  </si>
  <si>
    <t xml:space="preserve">2021-08-28 15:00:00</t>
  </si>
  <si>
    <t xml:space="preserve">Q2 – Outlet-wise Count of Tickets Created &amp; Closed Same Day / Same Hour</t>
  </si>
  <si>
    <t xml:space="preserve">Same Day?</t>
  </si>
  <si>
    <t xml:space="preserve">Same Hour?</t>
  </si>
  <si>
    <t xml:space="preserve">SUMMARY</t>
  </si>
  <si>
    <t xml:space="preserve">Same Day Count</t>
  </si>
  <si>
    <t xml:space="preserve">Same Hour Count</t>
  </si>
  <si>
    <t xml:space="preserve">PlatinumRx Data Analyst Assignment – Spreadsheet Notes</t>
  </si>
  <si>
    <t xml:space="preserve">Sheet: ticket</t>
  </si>
  <si>
    <t xml:space="preserve">Contains raw ticket data with ticket_id, created_at, closed_at, outlet_id, cms_id</t>
  </si>
  <si>
    <t xml:space="preserve">Sheet: feedbacks</t>
  </si>
  <si>
    <t xml:space="preserve">Contains feedback data. Column D (ticket_created_at) is auto-populated via INDEX/MATCH from ticket sheet using cms_id as the join key.</t>
  </si>
  <si>
    <t xml:space="preserve">Sheet: Time_Analysis</t>
  </si>
  <si>
    <t xml:space="preserve">Q2 solution. Helper columns 'Same Day?' and 'Same Hour?' use INT() and HOUR() functions. Summary table uses COUNTIFS to count True values per outlet.</t>
  </si>
  <si>
    <t xml:space="preserve">Q1 Formula Used (feedbacks!D):</t>
  </si>
  <si>
    <t xml:space="preserve"> =IFERROR(INDEX(ticket!$B$3:$B$12, MATCH(A3, ticket!$E$3:$E$12, 0)), "")</t>
  </si>
  <si>
    <t xml:space="preserve">Q2 Same Day Logic:</t>
  </si>
  <si>
    <t xml:space="preserve"> =IF(INT(created_at) = INT(closed_at), "TRUE", "FALSE")</t>
  </si>
  <si>
    <t xml:space="preserve">Q2 Same Hour Logic:</t>
  </si>
  <si>
    <t xml:space="preserve"> =IF(AND(INT(created_at)=INT(closed_at), HOUR(created_at)=HOUR(closed_at)), "TRUE", "FALSE")</t>
  </si>
  <si>
    <t xml:space="preserve">Q2 Count Formula:</t>
  </si>
  <si>
    <t xml:space="preserve"> =COUNTIFS(outlet_col, outlet_id, same_day_col, "TRUE")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</si>
</sst>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52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2"/>
      <color rgb="FF1A5276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1A5276"/>
      </patternFill>
    </fill>
    <fill>
      <patternFill patternType="solid">
        <fgColor rgb="FFEBF5FB"/>
        <bgColor rgb="FFFFFFFF"/>
      </patternFill>
    </fill>
    <fill>
      <patternFill patternType="solid">
        <fgColor rgb="FFD5F5E3"/>
        <bgColor rgb="FFCCFFFF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C4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2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tru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customFormat="false" ht="15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</row>
    <row r="5" customFormat="false" ht="15" hidden="false" customHeight="true" outlineLevel="0" collapsed="false">
      <c r="A5" s="4" t="s">
        <v>16</v>
      </c>
      <c r="B5" s="4" t="s">
        <v>17</v>
      </c>
      <c r="C5" s="4" t="s">
        <v>18</v>
      </c>
      <c r="D5" s="4" t="s">
        <v>9</v>
      </c>
      <c r="E5" s="4" t="s">
        <v>19</v>
      </c>
    </row>
    <row r="6" customFormat="false" ht="15" hidden="false" customHeight="true" outlineLevel="0" collapsed="false">
      <c r="A6" s="5" t="s">
        <v>20</v>
      </c>
      <c r="B6" s="5" t="s">
        <v>21</v>
      </c>
      <c r="C6" s="5" t="s">
        <v>22</v>
      </c>
      <c r="D6" s="5" t="s">
        <v>14</v>
      </c>
      <c r="E6" s="5" t="s">
        <v>23</v>
      </c>
    </row>
    <row r="7" customFormat="false" ht="15" hidden="false" customHeight="true" outlineLevel="0" collapsed="false">
      <c r="A7" s="4" t="s">
        <v>24</v>
      </c>
      <c r="B7" s="4" t="s">
        <v>25</v>
      </c>
      <c r="C7" s="4" t="s">
        <v>26</v>
      </c>
      <c r="D7" s="4" t="s">
        <v>9</v>
      </c>
      <c r="E7" s="4" t="s">
        <v>27</v>
      </c>
    </row>
    <row r="8" customFormat="false" ht="15" hidden="false" customHeight="true" outlineLevel="0" collapsed="false">
      <c r="A8" s="5" t="s">
        <v>28</v>
      </c>
      <c r="B8" s="5" t="s">
        <v>29</v>
      </c>
      <c r="C8" s="5" t="s">
        <v>30</v>
      </c>
      <c r="D8" s="5" t="s">
        <v>31</v>
      </c>
      <c r="E8" s="5" t="s">
        <v>32</v>
      </c>
    </row>
    <row r="9" customFormat="false" ht="15" hidden="false" customHeight="true" outlineLevel="0" collapsed="false">
      <c r="A9" s="4" t="s">
        <v>33</v>
      </c>
      <c r="B9" s="4" t="s">
        <v>34</v>
      </c>
      <c r="C9" s="4" t="s">
        <v>35</v>
      </c>
      <c r="D9" s="4" t="s">
        <v>31</v>
      </c>
      <c r="E9" s="4" t="s">
        <v>36</v>
      </c>
    </row>
    <row r="10" customFormat="false" ht="15" hidden="false" customHeight="true" outlineLevel="0" collapsed="false">
      <c r="A10" s="5" t="s">
        <v>37</v>
      </c>
      <c r="B10" s="5" t="s">
        <v>38</v>
      </c>
      <c r="C10" s="5" t="s">
        <v>39</v>
      </c>
      <c r="D10" s="5" t="s">
        <v>9</v>
      </c>
      <c r="E10" s="5" t="s">
        <v>40</v>
      </c>
    </row>
    <row r="11" customFormat="false" ht="15" hidden="false" customHeight="true" outlineLevel="0" collapsed="false">
      <c r="A11" s="4" t="s">
        <v>41</v>
      </c>
      <c r="B11" s="4" t="s">
        <v>42</v>
      </c>
      <c r="C11" s="4" t="s">
        <v>43</v>
      </c>
      <c r="D11" s="4" t="s">
        <v>14</v>
      </c>
      <c r="E11" s="4" t="s">
        <v>44</v>
      </c>
    </row>
    <row r="12" customFormat="false" ht="15" hidden="false" customHeight="true" outlineLevel="0" collapsed="false">
      <c r="A12" s="5" t="s">
        <v>45</v>
      </c>
      <c r="B12" s="5" t="s">
        <v>46</v>
      </c>
      <c r="C12" s="5" t="s">
        <v>47</v>
      </c>
      <c r="D12" s="5" t="s">
        <v>31</v>
      </c>
      <c r="E12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2"/>
  </cols>
  <sheetData>
    <row r="1" customFormat="false" ht="21.75" hidden="false" customHeight="true" outlineLevel="0" collapsed="false">
      <c r="A1" s="2" t="s">
        <v>49</v>
      </c>
    </row>
    <row r="2" customFormat="false" ht="15" hidden="false" customHeight="true" outlineLevel="0" collapsed="false">
      <c r="A2" s="3" t="s">
        <v>5</v>
      </c>
      <c r="B2" s="3" t="s">
        <v>50</v>
      </c>
      <c r="C2" s="3" t="s">
        <v>51</v>
      </c>
      <c r="D2" s="3" t="s">
        <v>52</v>
      </c>
    </row>
    <row r="3" customFormat="false" ht="15" hidden="false" customHeight="true" outlineLevel="0" collapsed="false">
      <c r="A3" s="4" t="s">
        <v>10</v>
      </c>
      <c r="B3" s="4" t="s">
        <v>53</v>
      </c>
      <c r="C3" s="4" t="n">
        <v>3</v>
      </c>
      <c r="D3" s="6" t="str">
        <f aca="false">IFERROR(INDEX(ticket!$B$3:$B$12,MATCH(A3,ticket!$E$3:$E$12,0)),"")</f>
        <v>2021-08-19 16:45:43</v>
      </c>
    </row>
    <row r="4" customFormat="false" ht="15" hidden="false" customHeight="true" outlineLevel="0" collapsed="false">
      <c r="A4" s="5" t="s">
        <v>15</v>
      </c>
      <c r="B4" s="5" t="s">
        <v>54</v>
      </c>
      <c r="C4" s="5" t="n">
        <v>5</v>
      </c>
      <c r="D4" s="6" t="str">
        <f aca="false">IFERROR(INDEX(ticket!$B$3:$B$12,MATCH(A4,ticket!$E$3:$E$12,0)),"")</f>
        <v>2021-08-21 11:09:22</v>
      </c>
    </row>
    <row r="5" customFormat="false" ht="15" hidden="false" customHeight="true" outlineLevel="0" collapsed="false">
      <c r="A5" s="4" t="s">
        <v>19</v>
      </c>
      <c r="B5" s="4" t="s">
        <v>55</v>
      </c>
      <c r="C5" s="4" t="n">
        <v>4</v>
      </c>
      <c r="D5" s="6" t="str">
        <f aca="false">IFERROR(INDEX(ticket!$B$3:$B$12,MATCH(A5,ticket!$E$3:$E$12,0)),"")</f>
        <v>2021-08-23 09:00:00</v>
      </c>
    </row>
    <row r="6" customFormat="false" ht="15" hidden="false" customHeight="true" outlineLevel="0" collapsed="false">
      <c r="A6" s="5" t="s">
        <v>23</v>
      </c>
      <c r="B6" s="5" t="s">
        <v>56</v>
      </c>
      <c r="C6" s="5" t="n">
        <v>2</v>
      </c>
      <c r="D6" s="6" t="str">
        <f aca="false">IFERROR(INDEX(ticket!$B$3:$B$12,MATCH(A6,ticket!$E$3:$E$12,0)),"")</f>
        <v>2021-08-24 14:00:00</v>
      </c>
    </row>
    <row r="7" customFormat="false" ht="15" hidden="false" customHeight="true" outlineLevel="0" collapsed="false">
      <c r="A7" s="4" t="s">
        <v>27</v>
      </c>
      <c r="B7" s="4" t="s">
        <v>22</v>
      </c>
      <c r="C7" s="4" t="n">
        <v>5</v>
      </c>
      <c r="D7" s="6" t="str">
        <f aca="false">IFERROR(INDEX(ticket!$B$3:$B$12,MATCH(A7,ticket!$E$3:$E$12,0)),"")</f>
        <v>2021-08-24 08:30:00</v>
      </c>
    </row>
    <row r="8" customFormat="false" ht="15" hidden="false" customHeight="true" outlineLevel="0" collapsed="false">
      <c r="A8" s="5" t="s">
        <v>32</v>
      </c>
      <c r="B8" s="5" t="s">
        <v>57</v>
      </c>
      <c r="C8" s="5" t="n">
        <v>3</v>
      </c>
      <c r="D8" s="6" t="str">
        <f aca="false">IFERROR(INDEX(ticket!$B$3:$B$12,MATCH(A8,ticket!$E$3:$E$12,0)),"")</f>
        <v>2021-08-25 11:00:00</v>
      </c>
    </row>
    <row r="9" customFormat="false" ht="15" hidden="false" customHeight="true" outlineLevel="0" collapsed="false">
      <c r="A9" s="4" t="s">
        <v>36</v>
      </c>
      <c r="B9" s="4" t="s">
        <v>58</v>
      </c>
      <c r="C9" s="4" t="n">
        <v>4</v>
      </c>
      <c r="D9" s="6" t="str">
        <f aca="false">IFERROR(INDEX(ticket!$B$3:$B$12,MATCH(A9,ticket!$E$3:$E$12,0)),"")</f>
        <v>2021-08-25 15:00:00</v>
      </c>
    </row>
    <row r="10" customFormat="false" ht="15" hidden="false" customHeight="true" outlineLevel="0" collapsed="false">
      <c r="A10" s="5" t="s">
        <v>40</v>
      </c>
      <c r="B10" s="5" t="s">
        <v>59</v>
      </c>
      <c r="C10" s="5" t="n">
        <v>5</v>
      </c>
      <c r="D10" s="6" t="str">
        <f aca="false">IFERROR(INDEX(ticket!$B$3:$B$12,MATCH(A10,ticket!$E$3:$E$12,0)),"")</f>
        <v>2021-08-26 10:00:00</v>
      </c>
    </row>
    <row r="11" customFormat="false" ht="15" hidden="false" customHeight="true" outlineLevel="0" collapsed="false">
      <c r="A11" s="4" t="s">
        <v>44</v>
      </c>
      <c r="B11" s="4" t="s">
        <v>60</v>
      </c>
      <c r="C11" s="4" t="n">
        <v>2</v>
      </c>
      <c r="D11" s="6" t="str">
        <f aca="false">IFERROR(INDEX(ticket!$B$3:$B$12,MATCH(A11,ticket!$E$3:$E$12,0)),"")</f>
        <v>2021-08-27 13:00:00</v>
      </c>
    </row>
    <row r="12" customFormat="false" ht="15" hidden="false" customHeight="true" outlineLevel="0" collapsed="false">
      <c r="A12" s="5" t="s">
        <v>48</v>
      </c>
      <c r="B12" s="5" t="s">
        <v>61</v>
      </c>
      <c r="C12" s="5" t="n">
        <v>4</v>
      </c>
      <c r="D12" s="6" t="str">
        <f aca="false">IFERROR(INDEX(ticket!$B$3:$B$12,MATCH(A12,ticket!$E$3:$E$12,0)),"")</f>
        <v>2021-08-27 16:00:00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2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4"/>
  </cols>
  <sheetData>
    <row r="1" customFormat="false" ht="21.75" hidden="false" customHeight="true" outlineLevel="0" collapsed="false">
      <c r="A1" s="2" t="s">
        <v>62</v>
      </c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63</v>
      </c>
      <c r="F2" s="3" t="s">
        <v>64</v>
      </c>
    </row>
    <row r="3" customFormat="false" ht="15" hidden="false" customHeight="true" outlineLevel="0" collapsed="false">
      <c r="A3" s="4" t="str">
        <f aca="false">ticket!A3</f>
        <v>isu-sjd-457</v>
      </c>
      <c r="B3" s="4" t="str">
        <f aca="false">ticket!B3</f>
        <v>2021-08-19 16:45:43</v>
      </c>
      <c r="C3" s="4" t="str">
        <f aca="false">ticket!C3</f>
        <v>2021-08-22 12:33:32</v>
      </c>
      <c r="D3" s="4" t="str">
        <f aca="false">ticket!D3</f>
        <v>wrqy-juv-978</v>
      </c>
      <c r="E3" s="7" t="str">
        <f aca="false">IF(INT(B3)=INT(C3),"TRUE","FALSE")</f>
        <v>FALSE</v>
      </c>
      <c r="F3" s="7" t="str">
        <f aca="false">IF(AND(INT(B3)=INT(C3),HOUR(B3)=HOUR(C3)),"TRUE","FALSE")</f>
        <v>FALSE</v>
      </c>
    </row>
    <row r="4" customFormat="false" ht="15" hidden="false" customHeight="true" outlineLevel="0" collapsed="false">
      <c r="A4" s="5" t="str">
        <f aca="false">ticket!A4</f>
        <v>qer-fal-092</v>
      </c>
      <c r="B4" s="5" t="str">
        <f aca="false">ticket!B4</f>
        <v>2021-08-21 11:09:22</v>
      </c>
      <c r="C4" s="5" t="str">
        <f aca="false">ticket!C4</f>
        <v>2021-08-21 17:13:45</v>
      </c>
      <c r="D4" s="5" t="str">
        <f aca="false">ticket!D4</f>
        <v>8woh-k3u-23b</v>
      </c>
      <c r="E4" s="7" t="str">
        <f aca="false">IF(INT(B4)=INT(C4),"TRUE","FALSE")</f>
        <v>TRUE</v>
      </c>
      <c r="F4" s="7" t="str">
        <f aca="false">IF(AND(INT(B4)=INT(C4),HOUR(B4)=HOUR(C4)),"TRUE","FALSE")</f>
        <v>FALSE</v>
      </c>
    </row>
    <row r="5" customFormat="false" ht="15" hidden="false" customHeight="true" outlineLevel="0" collapsed="false">
      <c r="A5" s="4" t="str">
        <f aca="false">ticket!A5</f>
        <v>abc-def-111</v>
      </c>
      <c r="B5" s="4" t="str">
        <f aca="false">ticket!B5</f>
        <v>2021-08-23 09:00:00</v>
      </c>
      <c r="C5" s="4" t="str">
        <f aca="false">ticket!C5</f>
        <v>2021-08-23 09:45:00</v>
      </c>
      <c r="D5" s="4" t="str">
        <f aca="false">ticket!D5</f>
        <v>wrqy-juv-978</v>
      </c>
      <c r="E5" s="7" t="str">
        <f aca="false">IF(INT(B5)=INT(C5),"TRUE","FALSE")</f>
        <v>TRUE</v>
      </c>
      <c r="F5" s="7" t="str">
        <f aca="false">IF(AND(INT(B5)=INT(C5),HOUR(B5)=HOUR(C5)),"TRUE","FALSE")</f>
        <v>TRUE</v>
      </c>
    </row>
    <row r="6" customFormat="false" ht="15" hidden="false" customHeight="true" outlineLevel="0" collapsed="false">
      <c r="A6" s="5" t="str">
        <f aca="false">ticket!A6</f>
        <v>bcd-efg-222</v>
      </c>
      <c r="B6" s="5" t="str">
        <f aca="false">ticket!B6</f>
        <v>2021-08-24 14:00:00</v>
      </c>
      <c r="C6" s="5" t="str">
        <f aca="false">ticket!C6</f>
        <v>2021-08-25 10:00:00</v>
      </c>
      <c r="D6" s="5" t="str">
        <f aca="false">ticket!D6</f>
        <v>8woh-k3u-23b</v>
      </c>
      <c r="E6" s="7" t="str">
        <f aca="false">IF(INT(B6)=INT(C6),"TRUE","FALSE")</f>
        <v>FALSE</v>
      </c>
      <c r="F6" s="7" t="str">
        <f aca="false">IF(AND(INT(B6)=INT(C6),HOUR(B6)=HOUR(C6)),"TRUE","FALSE")</f>
        <v>FALSE</v>
      </c>
    </row>
    <row r="7" customFormat="false" ht="15" hidden="false" customHeight="true" outlineLevel="0" collapsed="false">
      <c r="A7" s="4" t="str">
        <f aca="false">ticket!A7</f>
        <v>cde-fgh-333</v>
      </c>
      <c r="B7" s="4" t="str">
        <f aca="false">ticket!B7</f>
        <v>2021-08-24 08:30:00</v>
      </c>
      <c r="C7" s="4" t="str">
        <f aca="false">ticket!C7</f>
        <v>2021-08-24 08:55:00</v>
      </c>
      <c r="D7" s="4" t="str">
        <f aca="false">ticket!D7</f>
        <v>wrqy-juv-978</v>
      </c>
      <c r="E7" s="7" t="str">
        <f aca="false">IF(INT(B7)=INT(C7),"TRUE","FALSE")</f>
        <v>TRUE</v>
      </c>
      <c r="F7" s="7" t="str">
        <f aca="false">IF(AND(INT(B7)=INT(C7),HOUR(B7)=HOUR(C7)),"TRUE","FALSE")</f>
        <v>TRUE</v>
      </c>
    </row>
    <row r="8" customFormat="false" ht="15" hidden="false" customHeight="true" outlineLevel="0" collapsed="false">
      <c r="A8" s="5" t="str">
        <f aca="false">ticket!A8</f>
        <v>def-ghi-444</v>
      </c>
      <c r="B8" s="5" t="str">
        <f aca="false">ticket!B8</f>
        <v>2021-08-25 11:00:00</v>
      </c>
      <c r="C8" s="5" t="str">
        <f aca="false">ticket!C8</f>
        <v>2021-08-26 09:00:00</v>
      </c>
      <c r="D8" s="5" t="str">
        <f aca="false">ticket!D8</f>
        <v>9xyz-lmn-45c</v>
      </c>
      <c r="E8" s="7" t="str">
        <f aca="false">IF(INT(B8)=INT(C8),"TRUE","FALSE")</f>
        <v>FALSE</v>
      </c>
      <c r="F8" s="7" t="str">
        <f aca="false">IF(AND(INT(B8)=INT(C8),HOUR(B8)=HOUR(C8)),"TRUE","FALSE")</f>
        <v>FALSE</v>
      </c>
    </row>
    <row r="9" customFormat="false" ht="15" hidden="false" customHeight="true" outlineLevel="0" collapsed="false">
      <c r="A9" s="4" t="str">
        <f aca="false">ticket!A9</f>
        <v>efg-hij-555</v>
      </c>
      <c r="B9" s="4" t="str">
        <f aca="false">ticket!B9</f>
        <v>2021-08-25 15:00:00</v>
      </c>
      <c r="C9" s="4" t="str">
        <f aca="false">ticket!C9</f>
        <v>2021-08-25 15:30:00</v>
      </c>
      <c r="D9" s="4" t="str">
        <f aca="false">ticket!D9</f>
        <v>9xyz-lmn-45c</v>
      </c>
      <c r="E9" s="7" t="str">
        <f aca="false">IF(INT(B9)=INT(C9),"TRUE","FALSE")</f>
        <v>TRUE</v>
      </c>
      <c r="F9" s="7" t="str">
        <f aca="false">IF(AND(INT(B9)=INT(C9),HOUR(B9)=HOUR(C9)),"TRUE","FALSE")</f>
        <v>TRUE</v>
      </c>
    </row>
    <row r="10" customFormat="false" ht="15" hidden="false" customHeight="true" outlineLevel="0" collapsed="false">
      <c r="A10" s="5" t="str">
        <f aca="false">ticket!A10</f>
        <v>fgh-ijk-666</v>
      </c>
      <c r="B10" s="5" t="str">
        <f aca="false">ticket!B10</f>
        <v>2021-08-26 10:00:00</v>
      </c>
      <c r="C10" s="5" t="str">
        <f aca="false">ticket!C10</f>
        <v>2021-08-26 10:45:00</v>
      </c>
      <c r="D10" s="5" t="str">
        <f aca="false">ticket!D10</f>
        <v>wrqy-juv-978</v>
      </c>
      <c r="E10" s="7" t="str">
        <f aca="false">IF(INT(B10)=INT(C10),"TRUE","FALSE")</f>
        <v>TRUE</v>
      </c>
      <c r="F10" s="7" t="str">
        <f aca="false">IF(AND(INT(B10)=INT(C10),HOUR(B10)=HOUR(C10)),"TRUE","FALSE")</f>
        <v>TRUE</v>
      </c>
    </row>
    <row r="11" customFormat="false" ht="15" hidden="false" customHeight="true" outlineLevel="0" collapsed="false">
      <c r="A11" s="4" t="str">
        <f aca="false">ticket!A11</f>
        <v>ghi-jkl-777</v>
      </c>
      <c r="B11" s="4" t="str">
        <f aca="false">ticket!B11</f>
        <v>2021-08-27 13:00:00</v>
      </c>
      <c r="C11" s="4" t="str">
        <f aca="false">ticket!C11</f>
        <v>2021-08-28 14:00:00</v>
      </c>
      <c r="D11" s="4" t="str">
        <f aca="false">ticket!D11</f>
        <v>8woh-k3u-23b</v>
      </c>
      <c r="E11" s="7" t="str">
        <f aca="false">IF(INT(B11)=INT(C11),"TRUE","FALSE")</f>
        <v>FALSE</v>
      </c>
      <c r="F11" s="7" t="str">
        <f aca="false">IF(AND(INT(B11)=INT(C11),HOUR(B11)=HOUR(C11)),"TRUE","FALSE")</f>
        <v>FALSE</v>
      </c>
    </row>
    <row r="12" customFormat="false" ht="15" hidden="false" customHeight="true" outlineLevel="0" collapsed="false">
      <c r="A12" s="5" t="str">
        <f aca="false">ticket!A12</f>
        <v>hij-klm-888</v>
      </c>
      <c r="B12" s="5" t="str">
        <f aca="false">ticket!B12</f>
        <v>2021-08-27 16:00:00</v>
      </c>
      <c r="C12" s="5" t="str">
        <f aca="false">ticket!C12</f>
        <v>2021-08-27 16:50:00</v>
      </c>
      <c r="D12" s="5" t="str">
        <f aca="false">ticket!D12</f>
        <v>9xyz-lmn-45c</v>
      </c>
      <c r="E12" s="7" t="str">
        <f aca="false">IF(INT(B12)=INT(C12),"TRUE","FALSE")</f>
        <v>TRUE</v>
      </c>
      <c r="F12" s="7" t="str">
        <f aca="false">IF(AND(INT(B12)=INT(C12),HOUR(B12)=HOUR(C12)),"TRUE","FALSE")</f>
        <v>TRUE</v>
      </c>
    </row>
    <row r="14" customFormat="false" ht="15" hidden="false" customHeight="true" outlineLevel="0" collapsed="false">
      <c r="A14" s="8" t="s">
        <v>65</v>
      </c>
    </row>
    <row r="15" customFormat="false" ht="15" hidden="false" customHeight="true" outlineLevel="0" collapsed="false">
      <c r="A15" s="3" t="s">
        <v>4</v>
      </c>
      <c r="B15" s="3" t="s">
        <v>66</v>
      </c>
      <c r="C15" s="3" t="s">
        <v>67</v>
      </c>
    </row>
    <row r="16" customFormat="false" ht="15" hidden="false" customHeight="true" outlineLevel="0" collapsed="false">
      <c r="A16" s="9" t="s">
        <v>14</v>
      </c>
      <c r="B16" s="10" t="n">
        <f aca="false">COUNTIFS($D$3:$D$12,A16,$E$3:$E$12,"TRUE")</f>
        <v>1</v>
      </c>
      <c r="C16" s="10" t="n">
        <f aca="false">COUNTIFS($D$3:$D$12,A16,$F$3:$F$12,"TRUE")</f>
        <v>0</v>
      </c>
    </row>
    <row r="17" customFormat="false" ht="15" hidden="false" customHeight="true" outlineLevel="0" collapsed="false">
      <c r="A17" s="9" t="s">
        <v>31</v>
      </c>
      <c r="B17" s="10" t="n">
        <f aca="false">COUNTIFS($D$3:$D$12,A17,$E$3:$E$12,"TRUE")</f>
        <v>2</v>
      </c>
      <c r="C17" s="10" t="n">
        <f aca="false">COUNTIFS($D$3:$D$12,A17,$F$3:$F$12,"TRUE")</f>
        <v>2</v>
      </c>
    </row>
    <row r="18" customFormat="false" ht="15" hidden="false" customHeight="true" outlineLevel="0" collapsed="false">
      <c r="A18" s="9" t="s">
        <v>9</v>
      </c>
      <c r="B18" s="10" t="n">
        <f aca="false">COUNTIFS($D$3:$D$12,A18,$E$3:$E$12,"TRUE")</f>
        <v>3</v>
      </c>
      <c r="C18" s="10" t="n">
        <f aca="false">COUNTIFS($D$3:$D$12,A18,$F$3:$F$12,"TRUE")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80"/>
  </cols>
  <sheetData>
    <row r="1" customFormat="false" ht="15" hidden="false" customHeight="true" outlineLevel="0" collapsed="false">
      <c r="A1" s="11" t="s">
        <v>68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69</v>
      </c>
      <c r="B3" s="12" t="s">
        <v>70</v>
      </c>
    </row>
    <row r="4" customFormat="false" ht="15" hidden="false" customHeight="true" outlineLevel="0" collapsed="false">
      <c r="A4" s="12" t="s">
        <v>71</v>
      </c>
      <c r="B4" s="12" t="s">
        <v>72</v>
      </c>
    </row>
    <row r="5" customFormat="false" ht="15" hidden="false" customHeight="true" outlineLevel="0" collapsed="false">
      <c r="A5" s="12" t="s">
        <v>73</v>
      </c>
      <c r="B5" s="12" t="s">
        <v>74</v>
      </c>
    </row>
    <row r="6" customFormat="false" ht="15" hidden="false" customHeight="true" outlineLevel="0" collapsed="false">
      <c r="A6" s="11"/>
    </row>
    <row r="7" customFormat="false" ht="15" hidden="false" customHeight="true" outlineLevel="0" collapsed="false">
      <c r="A7" s="12" t="s">
        <v>75</v>
      </c>
      <c r="B7" s="12" t="s">
        <v>76</v>
      </c>
    </row>
    <row r="8" customFormat="false" ht="15" hidden="false" customHeight="true" outlineLevel="0" collapsed="false">
      <c r="A8" s="12" t="s">
        <v>77</v>
      </c>
      <c r="B8" s="12" t="s">
        <v>78</v>
      </c>
    </row>
    <row r="9" customFormat="false" ht="15" hidden="false" customHeight="true" outlineLevel="0" collapsed="false">
      <c r="A9" s="12" t="s">
        <v>79</v>
      </c>
      <c r="B9" s="12" t="s">
        <v>80</v>
      </c>
    </row>
    <row r="10" customFormat="false" ht="15" hidden="false" customHeight="true" outlineLevel="0" collapsed="false">
      <c r="A10" s="12" t="s">
        <v>81</v>
      </c>
      <c r="B10" s="1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2026-04-08T12:57:54Z</dcterms:created>
  <dc:creator>openpyxl</dc:creator>
  <dc:description/>
  <dc:language>en-US</dc:language>
  <cp:lastModifiedBy/>
  <dcterms:modified xsi:type="dcterms:W3CDTF">2026-04-08T12:58:48Z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